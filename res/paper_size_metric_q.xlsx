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tables/table1.xml" ContentType="application/vnd.openxmlformats-officedocument.spreadsheetml.table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5940" yWindow="260" windowWidth="25040" windowHeight="1550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6" i="1" l="1"/>
  <c r="E16" i="1"/>
  <c r="D15" i="1"/>
  <c r="E15" i="1"/>
  <c r="D14" i="1"/>
  <c r="E14" i="1"/>
  <c r="D13" i="1"/>
  <c r="E13" i="1"/>
  <c r="D12" i="1"/>
  <c r="E12" i="1"/>
  <c r="D11" i="1"/>
  <c r="E11" i="1"/>
  <c r="D10" i="1"/>
  <c r="E10" i="1"/>
  <c r="D9" i="1"/>
  <c r="E9" i="1"/>
  <c r="D8" i="1"/>
  <c r="E8" i="1"/>
  <c r="D7" i="1"/>
  <c r="E7" i="1"/>
  <c r="D6" i="1"/>
  <c r="E6" i="1"/>
  <c r="D5" i="1"/>
  <c r="E5" i="1"/>
  <c r="D4" i="1"/>
  <c r="E4" i="1"/>
  <c r="D3" i="1"/>
  <c r="E3" i="1"/>
  <c r="D2" i="1"/>
  <c r="E2" i="1"/>
</calcChain>
</file>

<file path=xl/sharedStrings.xml><?xml version="1.0" encoding="utf-8"?>
<sst xmlns="http://schemas.openxmlformats.org/spreadsheetml/2006/main" count="20" uniqueCount="20">
  <si>
    <t>format</t>
  </si>
  <si>
    <t>length (mm)</t>
  </si>
  <si>
    <t>width (mm)</t>
  </si>
  <si>
    <t>length (inch)</t>
  </si>
  <si>
    <t>width (inch)</t>
  </si>
  <si>
    <t>Q00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</si>
  <si>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</si>
  <si>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</si>
  <si>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</si>
  <si>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</si>
  <si>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</si>
  <si>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</si>
  <si>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</si>
  <si>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</si>
  <si>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</si>
  <si>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</si>
  <si>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</si>
  <si>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</si>
  <si>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Q00+</t>
  </si>
  <si>
    <t>Q00++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</si>
</sst>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0" borderId="0" xfId="0" applyBorder="1"/>
    <xf numFmtId="4" fontId="0" fillId="0" borderId="0" xfId="0" applyNumberFormat="1" applyBorder="1"/>
  </cellXfs>
  <cellStyles count="8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6" totalsRowShown="0">
  <autoFilter ref="A1:E16"/>
  <sortState ref="A2:E16">
    <sortCondition ref="B1:B16"/>
  </sortState>
  <tableColumns count="5">
    <tableColumn id="2" name="format"/>
    <tableColumn id="3" name="length (mm)" dataDxfId="3"/>
    <tableColumn id="4" name="width (mm)" dataDxfId="2"/>
    <tableColumn id="5" name="length (inch)" dataDxfId="1">
      <calculatedColumnFormula>CONVERT(Table1[[#This Row],[length (mm)]], "mm","in")</calculatedColumnFormula>
    </tableColumn>
    <tableColumn id="6" name="width (inch)" dataDxfId="0">
      <calculatedColumnFormula>CONVERT(Table1[[#This Row],[width (mm)]], "mm","in")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A19" sqref="A19"/>
    </sheetView>
  </sheetViews>
  <sheetFormatPr baseColWidth="10" defaultRowHeight="15" x14ac:dyDescent="0"/>
  <cols>
    <col min="1" max="1" width="11.6640625" bestFit="1" customWidth="1"/>
    <col min="2" max="2" width="12.83203125" bestFit="1" customWidth="1"/>
    <col min="3" max="3" width="13.83203125" bestFit="1" customWidth="1"/>
    <col min="4" max="4" width="13.1640625" bestFit="1" customWidth="1"/>
    <col min="5" max="5" width="14.16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17</v>
      </c>
      <c r="B2" s="1">
        <v>15.625</v>
      </c>
      <c r="C2" s="1">
        <v>11.25</v>
      </c>
      <c r="D2" s="1">
        <f>CONVERT(Table1[[#This Row],[length (mm)]], "mm","in")</f>
        <v>0.61515748031496065</v>
      </c>
      <c r="E2" s="1">
        <f>CONVERT(Table1[[#This Row],[width (mm)]], "mm","in")</f>
        <v>0.44291338582677164</v>
      </c>
    </row>
    <row r="3" spans="1:5">
      <c r="A3" t="s">
        <v>16</v>
      </c>
      <c r="B3" s="1">
        <v>22.5</v>
      </c>
      <c r="C3" s="1">
        <v>15.625</v>
      </c>
      <c r="D3" s="1">
        <f>CONVERT(Table1[[#This Row],[length (mm)]], "mm","in")</f>
        <v>0.88582677165354329</v>
      </c>
      <c r="E3" s="1">
        <f>CONVERT(Table1[[#This Row],[width (mm)]], "mm","in")</f>
        <v>0.61515748031496065</v>
      </c>
    </row>
    <row r="4" spans="1:5">
      <c r="A4" t="s">
        <v>15</v>
      </c>
      <c r="B4" s="1">
        <v>31.25</v>
      </c>
      <c r="C4" s="1">
        <v>22.5</v>
      </c>
      <c r="D4" s="1">
        <f>CONVERT(Table1[[#This Row],[length (mm)]], "mm","in")</f>
        <v>1.2303149606299213</v>
      </c>
      <c r="E4" s="1">
        <f>CONVERT(Table1[[#This Row],[width (mm)]], "mm","in")</f>
        <v>0.88582677165354329</v>
      </c>
    </row>
    <row r="5" spans="1:5">
      <c r="A5" t="s">
        <v>14</v>
      </c>
      <c r="B5" s="1">
        <v>45</v>
      </c>
      <c r="C5" s="1">
        <v>31.25</v>
      </c>
      <c r="D5" s="1">
        <f>CONVERT(Table1[[#This Row],[length (mm)]], "mm","in")</f>
        <v>1.7716535433070866</v>
      </c>
      <c r="E5" s="1">
        <f>CONVERT(Table1[[#This Row],[width (mm)]], "mm","in")</f>
        <v>1.2303149606299213</v>
      </c>
    </row>
    <row r="6" spans="1:5">
      <c r="A6" t="s">
        <v>13</v>
      </c>
      <c r="B6" s="1">
        <v>62.5</v>
      </c>
      <c r="C6" s="1">
        <v>45</v>
      </c>
      <c r="D6" s="1">
        <f>CONVERT(Table1[[#This Row],[length (mm)]], "mm","in")</f>
        <v>2.4606299212598426</v>
      </c>
      <c r="E6" s="1">
        <f>CONVERT(Table1[[#This Row],[width (mm)]], "mm","in")</f>
        <v>1.7716535433070866</v>
      </c>
    </row>
    <row r="7" spans="1:5">
      <c r="A7" t="s">
        <v>12</v>
      </c>
      <c r="B7" s="1">
        <v>90</v>
      </c>
      <c r="C7" s="1">
        <v>62.5</v>
      </c>
      <c r="D7" s="1">
        <f>CONVERT(Table1[[#This Row],[length (mm)]], "mm","in")</f>
        <v>3.5433070866141732</v>
      </c>
      <c r="E7" s="1">
        <f>CONVERT(Table1[[#This Row],[width (mm)]], "mm","in")</f>
        <v>2.4606299212598426</v>
      </c>
    </row>
    <row r="8" spans="1:5">
      <c r="A8" t="s">
        <v>11</v>
      </c>
      <c r="B8" s="1">
        <v>135</v>
      </c>
      <c r="C8" s="1">
        <v>90</v>
      </c>
      <c r="D8" s="1">
        <f>CONVERT(Table1[[#This Row],[length (mm)]], "mm","in")</f>
        <v>5.3149606299212602</v>
      </c>
      <c r="E8" s="1">
        <f>CONVERT(Table1[[#This Row],[width (mm)]], "mm","in")</f>
        <v>3.5433070866141732</v>
      </c>
    </row>
    <row r="9" spans="1:5">
      <c r="A9" t="s">
        <v>10</v>
      </c>
      <c r="B9" s="1">
        <v>180</v>
      </c>
      <c r="C9" s="1">
        <v>135</v>
      </c>
      <c r="D9" s="1">
        <f>CONVERT(Table1[[#This Row],[length (mm)]], "mm","in")</f>
        <v>7.0866141732283463</v>
      </c>
      <c r="E9" s="1">
        <f>CONVERT(Table1[[#This Row],[width (mm)]], "mm","in")</f>
        <v>5.3149606299212602</v>
      </c>
    </row>
    <row r="10" spans="1:5">
      <c r="A10" t="s">
        <v>9</v>
      </c>
      <c r="B10" s="1">
        <v>270</v>
      </c>
      <c r="C10" s="1">
        <v>180</v>
      </c>
      <c r="D10" s="1">
        <f>CONVERT(Table1[[#This Row],[length (mm)]], "mm","in")</f>
        <v>10.62992125984252</v>
      </c>
      <c r="E10" s="1">
        <f>CONVERT(Table1[[#This Row],[width (mm)]], "mm","in")</f>
        <v>7.0866141732283463</v>
      </c>
    </row>
    <row r="11" spans="1:5">
      <c r="A11" t="s">
        <v>8</v>
      </c>
      <c r="B11" s="1">
        <v>360</v>
      </c>
      <c r="C11" s="1">
        <v>270</v>
      </c>
      <c r="D11" s="1">
        <f>CONVERT(Table1[[#This Row],[length (mm)]], "mm","in")</f>
        <v>14.173228346456693</v>
      </c>
      <c r="E11" s="1">
        <f>CONVERT(Table1[[#This Row],[width (mm)]], "mm","in")</f>
        <v>10.62992125984252</v>
      </c>
    </row>
    <row r="12" spans="1:5">
      <c r="A12" t="s">
        <v>7</v>
      </c>
      <c r="B12" s="1">
        <v>540</v>
      </c>
      <c r="C12" s="1">
        <v>360</v>
      </c>
      <c r="D12" s="1">
        <f>CONVERT(Table1[[#This Row],[length (mm)]], "mm","in")</f>
        <v>21.259842519685041</v>
      </c>
      <c r="E12" s="1">
        <f>CONVERT(Table1[[#This Row],[width (mm)]], "mm","in")</f>
        <v>14.173228346456693</v>
      </c>
    </row>
    <row r="13" spans="1:5">
      <c r="A13" t="s">
        <v>6</v>
      </c>
      <c r="B13" s="1">
        <v>720</v>
      </c>
      <c r="C13" s="1">
        <v>540</v>
      </c>
      <c r="D13" s="1">
        <f>CONVERT(Table1[[#This Row],[length (mm)]], "mm","in")</f>
        <v>28.346456692913385</v>
      </c>
      <c r="E13" s="1">
        <f>CONVERT(Table1[[#This Row],[width (mm)]], "mm","in")</f>
        <v>21.259842519685041</v>
      </c>
    </row>
    <row r="14" spans="1:5">
      <c r="A14" t="s">
        <v>5</v>
      </c>
      <c r="B14" s="1">
        <v>1080</v>
      </c>
      <c r="C14" s="1">
        <v>720</v>
      </c>
      <c r="D14" s="1">
        <f>CONVERT(Table1[[#This Row],[length (mm)]], "mm","in")</f>
        <v>42.519685039370081</v>
      </c>
      <c r="E14" s="1">
        <f>CONVERT(Table1[[#This Row],[width (mm)]], "mm","in")</f>
        <v>28.346456692913385</v>
      </c>
    </row>
    <row r="15" spans="1:5">
      <c r="A15" s="2" t="s">
        <v>18</v>
      </c>
      <c r="B15" s="3">
        <v>1440</v>
      </c>
      <c r="C15" s="1">
        <v>1080</v>
      </c>
      <c r="D15" s="3">
        <f>CONVERT(Table1[[#This Row],[length (mm)]], "mm","in")</f>
        <v>56.69291338582677</v>
      </c>
      <c r="E15" s="3">
        <f>CONVERT(Table1[[#This Row],[width (mm)]], "mm","in")</f>
        <v>42.519685039370081</v>
      </c>
    </row>
    <row r="16" spans="1:5">
      <c r="A16" s="2" t="s">
        <v>19</v>
      </c>
      <c r="B16" s="3">
        <v>2160</v>
      </c>
      <c r="C16" s="3">
        <v>1440</v>
      </c>
      <c r="D16" s="3">
        <f>CONVERT(Table1[[#This Row],[length (mm)]], "mm","in")</f>
        <v>85.039370078740163</v>
      </c>
      <c r="E16" s="3">
        <f>CONVERT(Table1[[#This Row],[width (mm)]], "mm","in")</f>
        <v>56.69291338582677</v>
      </c>
    </row>
  </sheetData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8314E5DA542D4DA56756A759A4EE01" ma:contentTypeVersion="18" ma:contentTypeDescription="Create a new document." ma:contentTypeScope="" ma:versionID="1e89887c514b199ed1949f959c3d8c84">
  <xsd:schema xmlns:xsd="http://www.w3.org/2001/XMLSchema" xmlns:xs="http://www.w3.org/2001/XMLSchema" xmlns:p="http://schemas.microsoft.com/office/2006/metadata/properties" xmlns:ns2="e2bac457-0f5b-492b-85af-7aca61835a1d" xmlns:ns3="22245635-2cef-4f1f-9fc1-b98dec5a3c3d" targetNamespace="http://schemas.microsoft.com/office/2006/metadata/properties" ma:root="true" ma:fieldsID="8715ef6fb3d4ad2a05f37d500efdb8e0" ns2:_="" ns3:_="">
    <xsd:import namespace="e2bac457-0f5b-492b-85af-7aca61835a1d"/>
    <xsd:import namespace="22245635-2cef-4f1f-9fc1-b98dec5a3c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bac457-0f5b-492b-85af-7aca61835a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2d65480-f5ce-4fa1-8f59-38e5211deb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245635-2cef-4f1f-9fc1-b98dec5a3c3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ae6ad92-20d8-4d6d-8761-3ffc9172ed5d}" ma:internalName="TaxCatchAll" ma:showField="CatchAllData" ma:web="22245635-2cef-4f1f-9fc1-b98dec5a3c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245635-2cef-4f1f-9fc1-b98dec5a3c3d" xsi:nil="true"/>
    <lcf76f155ced4ddcb4097134ff3c332f xmlns="e2bac457-0f5b-492b-85af-7aca61835a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7FD07-8BC2-46F4-AE82-FA1AE977A7A2}"/>
</file>

<file path=customXml/itemProps2.xml><?xml version="1.0" encoding="utf-8"?>
<ds:datastoreItem xmlns:ds="http://schemas.openxmlformats.org/officeDocument/2006/customXml" ds:itemID="{1C47D68D-934B-4F78-B3F8-02697D07E1DE}"/>
</file>

<file path=customXml/itemProps3.xml><?xml version="1.0" encoding="utf-8"?>
<ds:datastoreItem xmlns:ds="http://schemas.openxmlformats.org/officeDocument/2006/customXml" ds:itemID="{FD8CC939-369A-476A-ACCC-D85422D970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Lars</cp:lastModifiedBy>
  <dcterms:created xsi:type="dcterms:W3CDTF">2011-07-03T13:34:07Z</dcterms:created>
  <dcterms:modified xsi:type="dcterms:W3CDTF">2012-09-29T19:47:17Z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0x010100448314E5DA542D4DA56756A759A4EE01</vt:lpwstr>
  </property>
</Properties>
</file>