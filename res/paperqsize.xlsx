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scapefoundation.sharepoint.com/sites/Design/Shared Documents/_general/stylesort/semiosys/old/pub-qbook/old/Links/"/>
    </mc:Choice>
  </mc:AlternateContent>
  <xr:revisionPtr revIDLastSave="2" documentId="11_33B1F1A15BB81BA1F7EFDABE57D7CC3CB5DDB4C3" xr6:coauthVersionLast="47" xr6:coauthVersionMax="47" xr10:uidLastSave="{6C36B00B-EF22-C541-A970-E2C1540E4110}"/>
  <bookViews>
    <workbookView xWindow="1540" yWindow="660" windowWidth="25600" windowHeight="16060" tabRatio="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5" i="1" l="1"/>
  <c r="I15" i="1"/>
  <c r="J15" i="1"/>
  <c r="K15" i="1"/>
  <c r="H14" i="1"/>
  <c r="J14" i="1" s="1"/>
  <c r="I14" i="1"/>
  <c r="K14" i="1" s="1"/>
  <c r="I13" i="1"/>
  <c r="K13" i="1"/>
  <c r="H13" i="1"/>
  <c r="J13" i="1" s="1"/>
  <c r="I12" i="1"/>
  <c r="K12" i="1"/>
  <c r="H12" i="1"/>
  <c r="J12" i="1" s="1"/>
  <c r="I11" i="1"/>
  <c r="K11" i="1"/>
  <c r="H11" i="1"/>
  <c r="J11" i="1"/>
  <c r="I10" i="1"/>
  <c r="K10" i="1"/>
  <c r="H10" i="1"/>
  <c r="J10" i="1"/>
  <c r="I9" i="1"/>
  <c r="K9" i="1" s="1"/>
  <c r="H9" i="1"/>
  <c r="J9" i="1"/>
  <c r="I8" i="1"/>
  <c r="K8" i="1"/>
  <c r="H8" i="1"/>
  <c r="J8" i="1"/>
  <c r="I7" i="1"/>
  <c r="K7" i="1"/>
  <c r="H7" i="1"/>
  <c r="J7" i="1"/>
  <c r="I6" i="1"/>
  <c r="K6" i="1"/>
  <c r="H6" i="1"/>
  <c r="J6" i="1" s="1"/>
  <c r="I5" i="1"/>
  <c r="K5" i="1"/>
  <c r="H5" i="1"/>
  <c r="J5" i="1"/>
  <c r="I4" i="1"/>
  <c r="K4" i="1"/>
  <c r="H4" i="1"/>
  <c r="J4" i="1"/>
  <c r="I3" i="1"/>
  <c r="K3" i="1"/>
  <c r="H3" i="1"/>
  <c r="J3" i="1"/>
</calcChain>
</file>

<file path=xl/sharedStrings.xml><?xml version="1.0" encoding="utf-8"?>
<sst xmlns="http://schemas.openxmlformats.org/spreadsheetml/2006/main" count="28" uniqueCount="28">
  <si>
    <t>Q10</t>
  </si>
  <si>
    <t>Q00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</si>
  <si>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</si>
  <si>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</si>
  <si>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</si>
  <si>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</si>
  <si>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</si>
  <si>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</si>
  <si>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</si>
  <si>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</si>
  <si>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</si>
  <si>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x</t>
  </si>
  <si>
    <t>y</t>
  </si>
  <si>
    <t>A-Maat</t>
  </si>
  <si>
    <t>Q-Maat</t>
  </si>
  <si>
    <t>Verschil</t>
  </si>
  <si>
    <t>Marges</t>
  </si>
  <si>
    <t>Column1</t>
  </si>
  <si>
    <t>x4</t>
  </si>
  <si>
    <t>y5</t>
  </si>
  <si>
    <t>x6</t>
  </si>
  <si>
    <t>y7</t>
  </si>
  <si>
    <t>x8</t>
  </si>
  <si>
    <t>y9</t>
  </si>
  <si>
    <t>Q11</t>
  </si>
  <si>
    <t>Q12</t>
  </si>
  <si>
    <t>ratio-x</t>
  </si>
  <si>
    <t>ratio-y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</si>
</sst>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&quot;mm&quot;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CE6F1"/>
        <bgColor rgb="FFDCE6F1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8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64" fontId="3" fillId="2" borderId="1" xfId="0" applyNumberFormat="1" applyFont="1" applyFill="1" applyBorder="1"/>
    <xf numFmtId="164" fontId="3" fillId="3" borderId="1" xfId="0" applyNumberFormat="1" applyFont="1" applyFill="1" applyBorder="1"/>
    <xf numFmtId="2" fontId="0" fillId="0" borderId="0" xfId="0" applyNumberFormat="1"/>
    <xf numFmtId="164" fontId="3" fillId="2" borderId="2" xfId="0" applyNumberFormat="1" applyFont="1" applyFill="1" applyBorder="1"/>
    <xf numFmtId="0" fontId="4" fillId="4" borderId="3" xfId="0" applyFont="1" applyFill="1" applyBorder="1"/>
  </cellXfs>
  <cellStyles count="8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Normal" xfId="0" builtinId="0"/>
  </cellStyles>
  <dxfs count="4"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0.00\ &quot;mm&quot;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0.00\ &quot;mm&quot;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K15" totalsRowShown="0">
  <autoFilter ref="A2:K15" xr:uid="{00000000-0009-0000-0100-000001000000}"/>
  <tableColumns count="11">
    <tableColumn id="1" xr3:uid="{00000000-0010-0000-0000-000001000000}" name="Column1"/>
    <tableColumn id="2" xr3:uid="{00000000-0010-0000-0000-000002000000}" name="ratio-x"/>
    <tableColumn id="3" xr3:uid="{00000000-0010-0000-0000-000003000000}" name="ratio-y"/>
    <tableColumn id="4" xr3:uid="{00000000-0010-0000-0000-000004000000}" name="x"/>
    <tableColumn id="5" xr3:uid="{00000000-0010-0000-0000-000005000000}" name="y"/>
    <tableColumn id="6" xr3:uid="{00000000-0010-0000-0000-000006000000}" name="x4" dataDxfId="3"/>
    <tableColumn id="7" xr3:uid="{00000000-0010-0000-0000-000007000000}" name="y5" dataDxfId="2"/>
    <tableColumn id="8" xr3:uid="{00000000-0010-0000-0000-000008000000}" name="x6" dataDxfId="1">
      <calculatedColumnFormula>F3-D3</calculatedColumnFormula>
    </tableColumn>
    <tableColumn id="9" xr3:uid="{00000000-0010-0000-0000-000009000000}" name="y7" dataDxfId="0">
      <calculatedColumnFormula>G3-E3</calculatedColumnFormula>
    </tableColumn>
    <tableColumn id="10" xr3:uid="{00000000-0010-0000-0000-00000A000000}" name="x8">
      <calculatedColumnFormula>H3/2</calculatedColumnFormula>
    </tableColumn>
    <tableColumn id="11" xr3:uid="{00000000-0010-0000-0000-00000B000000}" name="y9">
      <calculatedColumnFormula>I3/2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F21" sqref="F21"/>
    </sheetView>
  </sheetViews>
  <sheetFormatPr baseColWidth="10" defaultRowHeight="16" x14ac:dyDescent="0.2"/>
  <cols>
    <col min="1" max="8" width="11" customWidth="1"/>
  </cols>
  <sheetData>
    <row r="1" spans="1:11" x14ac:dyDescent="0.2">
      <c r="D1" t="s">
        <v>14</v>
      </c>
      <c r="F1" t="s">
        <v>13</v>
      </c>
      <c r="H1" t="s">
        <v>15</v>
      </c>
      <c r="J1" t="s">
        <v>16</v>
      </c>
    </row>
    <row r="2" spans="1:11" x14ac:dyDescent="0.2">
      <c r="A2" t="s">
        <v>17</v>
      </c>
      <c r="B2" t="s">
        <v>26</v>
      </c>
      <c r="C2" t="s">
        <v>27</v>
      </c>
      <c r="D2" t="s">
        <v>11</v>
      </c>
      <c r="E2" t="s">
        <v>12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</row>
    <row r="3" spans="1:11" x14ac:dyDescent="0.2">
      <c r="A3" t="s">
        <v>1</v>
      </c>
      <c r="B3">
        <v>2</v>
      </c>
      <c r="C3">
        <v>3</v>
      </c>
      <c r="D3">
        <v>720</v>
      </c>
      <c r="E3">
        <v>1080</v>
      </c>
      <c r="F3" s="1">
        <v>841</v>
      </c>
      <c r="G3" s="1">
        <v>1189</v>
      </c>
      <c r="H3" s="3">
        <f>F3-D3</f>
        <v>121</v>
      </c>
      <c r="I3" s="3">
        <f>G3-E3</f>
        <v>109</v>
      </c>
      <c r="J3">
        <f>H3/2</f>
        <v>60.5</v>
      </c>
      <c r="K3">
        <f>I3/2</f>
        <v>54.5</v>
      </c>
    </row>
    <row r="4" spans="1:11" x14ac:dyDescent="0.2">
      <c r="A4" t="s">
        <v>2</v>
      </c>
      <c r="B4">
        <v>3</v>
      </c>
      <c r="C4">
        <v>4</v>
      </c>
      <c r="D4">
        <v>540</v>
      </c>
      <c r="E4">
        <v>720</v>
      </c>
      <c r="F4" s="2">
        <v>594</v>
      </c>
      <c r="G4" s="2">
        <v>841</v>
      </c>
      <c r="H4" s="3">
        <f t="shared" ref="H4:H13" si="0">F4-D4</f>
        <v>54</v>
      </c>
      <c r="I4" s="3">
        <f t="shared" ref="I4:I13" si="1">G4-E4</f>
        <v>121</v>
      </c>
      <c r="J4">
        <f t="shared" ref="J4:J13" si="2">H4/2</f>
        <v>27</v>
      </c>
      <c r="K4">
        <f t="shared" ref="K4:K13" si="3">I4/2</f>
        <v>60.5</v>
      </c>
    </row>
    <row r="5" spans="1:11" x14ac:dyDescent="0.2">
      <c r="A5" t="s">
        <v>3</v>
      </c>
      <c r="B5">
        <v>2</v>
      </c>
      <c r="C5">
        <v>3</v>
      </c>
      <c r="D5">
        <v>360</v>
      </c>
      <c r="E5">
        <v>540</v>
      </c>
      <c r="F5" s="1">
        <v>420</v>
      </c>
      <c r="G5" s="1">
        <v>594</v>
      </c>
      <c r="H5" s="3">
        <f t="shared" si="0"/>
        <v>60</v>
      </c>
      <c r="I5" s="3">
        <f t="shared" si="1"/>
        <v>54</v>
      </c>
      <c r="J5">
        <f t="shared" si="2"/>
        <v>30</v>
      </c>
      <c r="K5">
        <f t="shared" si="3"/>
        <v>27</v>
      </c>
    </row>
    <row r="6" spans="1:11" x14ac:dyDescent="0.2">
      <c r="A6" t="s">
        <v>4</v>
      </c>
      <c r="B6">
        <v>3</v>
      </c>
      <c r="C6">
        <v>4</v>
      </c>
      <c r="D6">
        <v>270</v>
      </c>
      <c r="E6">
        <v>360</v>
      </c>
      <c r="F6" s="2">
        <v>297</v>
      </c>
      <c r="G6" s="2">
        <v>420</v>
      </c>
      <c r="H6" s="3">
        <f t="shared" si="0"/>
        <v>27</v>
      </c>
      <c r="I6" s="3">
        <f t="shared" si="1"/>
        <v>60</v>
      </c>
      <c r="J6">
        <f t="shared" si="2"/>
        <v>13.5</v>
      </c>
      <c r="K6">
        <f t="shared" si="3"/>
        <v>30</v>
      </c>
    </row>
    <row r="7" spans="1:11" x14ac:dyDescent="0.2">
      <c r="A7" t="s">
        <v>5</v>
      </c>
      <c r="B7">
        <v>2</v>
      </c>
      <c r="C7">
        <v>3</v>
      </c>
      <c r="D7">
        <v>180</v>
      </c>
      <c r="E7">
        <v>270</v>
      </c>
      <c r="F7" s="1">
        <v>210</v>
      </c>
      <c r="G7" s="1">
        <v>297</v>
      </c>
      <c r="H7" s="3">
        <f t="shared" si="0"/>
        <v>30</v>
      </c>
      <c r="I7" s="3">
        <f t="shared" si="1"/>
        <v>27</v>
      </c>
      <c r="J7">
        <f t="shared" si="2"/>
        <v>15</v>
      </c>
      <c r="K7">
        <f t="shared" si="3"/>
        <v>13.5</v>
      </c>
    </row>
    <row r="8" spans="1:11" x14ac:dyDescent="0.2">
      <c r="A8" t="s">
        <v>6</v>
      </c>
      <c r="B8">
        <v>3</v>
      </c>
      <c r="C8">
        <v>4</v>
      </c>
      <c r="D8">
        <v>135</v>
      </c>
      <c r="E8">
        <v>180</v>
      </c>
      <c r="F8" s="2">
        <v>148</v>
      </c>
      <c r="G8" s="2">
        <v>210</v>
      </c>
      <c r="H8" s="3">
        <f t="shared" si="0"/>
        <v>13</v>
      </c>
      <c r="I8" s="3">
        <f t="shared" si="1"/>
        <v>30</v>
      </c>
      <c r="J8">
        <f t="shared" si="2"/>
        <v>6.5</v>
      </c>
      <c r="K8">
        <f t="shared" si="3"/>
        <v>15</v>
      </c>
    </row>
    <row r="9" spans="1:11" x14ac:dyDescent="0.2">
      <c r="A9" t="s">
        <v>7</v>
      </c>
      <c r="B9">
        <v>2</v>
      </c>
      <c r="C9">
        <v>3</v>
      </c>
      <c r="D9">
        <v>90</v>
      </c>
      <c r="E9">
        <v>135</v>
      </c>
      <c r="F9" s="1">
        <v>105</v>
      </c>
      <c r="G9" s="1">
        <v>148</v>
      </c>
      <c r="H9" s="3">
        <f t="shared" si="0"/>
        <v>15</v>
      </c>
      <c r="I9" s="3">
        <f t="shared" si="1"/>
        <v>13</v>
      </c>
      <c r="J9">
        <f t="shared" si="2"/>
        <v>7.5</v>
      </c>
      <c r="K9">
        <f t="shared" si="3"/>
        <v>6.5</v>
      </c>
    </row>
    <row r="10" spans="1:11" x14ac:dyDescent="0.2">
      <c r="A10" t="s">
        <v>8</v>
      </c>
      <c r="B10">
        <v>3</v>
      </c>
      <c r="C10">
        <v>4</v>
      </c>
      <c r="D10">
        <v>62.5</v>
      </c>
      <c r="E10">
        <v>90</v>
      </c>
      <c r="F10" s="2">
        <v>74</v>
      </c>
      <c r="G10" s="2">
        <v>105</v>
      </c>
      <c r="H10" s="3">
        <f t="shared" si="0"/>
        <v>11.5</v>
      </c>
      <c r="I10" s="3">
        <f t="shared" si="1"/>
        <v>15</v>
      </c>
      <c r="J10">
        <f t="shared" si="2"/>
        <v>5.75</v>
      </c>
      <c r="K10">
        <f t="shared" si="3"/>
        <v>7.5</v>
      </c>
    </row>
    <row r="11" spans="1:11" x14ac:dyDescent="0.2">
      <c r="A11" t="s">
        <v>9</v>
      </c>
      <c r="B11">
        <v>2</v>
      </c>
      <c r="C11">
        <v>3</v>
      </c>
      <c r="D11">
        <v>45</v>
      </c>
      <c r="E11">
        <v>62.5</v>
      </c>
      <c r="F11" s="1">
        <v>52</v>
      </c>
      <c r="G11" s="1">
        <v>74</v>
      </c>
      <c r="H11" s="3">
        <f t="shared" si="0"/>
        <v>7</v>
      </c>
      <c r="I11" s="3">
        <f t="shared" si="1"/>
        <v>11.5</v>
      </c>
      <c r="J11">
        <f t="shared" si="2"/>
        <v>3.5</v>
      </c>
      <c r="K11">
        <f t="shared" si="3"/>
        <v>5.75</v>
      </c>
    </row>
    <row r="12" spans="1:11" x14ac:dyDescent="0.2">
      <c r="A12" t="s">
        <v>10</v>
      </c>
      <c r="B12">
        <v>3</v>
      </c>
      <c r="C12">
        <v>4</v>
      </c>
      <c r="D12">
        <v>31.25</v>
      </c>
      <c r="E12">
        <v>45</v>
      </c>
      <c r="F12" s="2">
        <v>37</v>
      </c>
      <c r="G12" s="2">
        <v>52</v>
      </c>
      <c r="H12" s="3">
        <f t="shared" si="0"/>
        <v>5.75</v>
      </c>
      <c r="I12" s="3">
        <f t="shared" si="1"/>
        <v>7</v>
      </c>
      <c r="J12">
        <f t="shared" si="2"/>
        <v>2.875</v>
      </c>
      <c r="K12">
        <f t="shared" si="3"/>
        <v>3.5</v>
      </c>
    </row>
    <row r="13" spans="1:11" x14ac:dyDescent="0.2">
      <c r="A13" t="s">
        <v>0</v>
      </c>
      <c r="B13">
        <v>2</v>
      </c>
      <c r="C13">
        <v>3</v>
      </c>
      <c r="D13">
        <v>22.5</v>
      </c>
      <c r="E13">
        <v>31.25</v>
      </c>
      <c r="F13" s="1">
        <v>26</v>
      </c>
      <c r="G13" s="1">
        <v>37</v>
      </c>
      <c r="H13" s="3">
        <f t="shared" si="0"/>
        <v>3.5</v>
      </c>
      <c r="I13" s="3">
        <f t="shared" si="1"/>
        <v>5.75</v>
      </c>
      <c r="J13">
        <f t="shared" si="2"/>
        <v>1.75</v>
      </c>
      <c r="K13">
        <f t="shared" si="3"/>
        <v>2.875</v>
      </c>
    </row>
    <row r="14" spans="1:11" x14ac:dyDescent="0.2">
      <c r="A14" t="s">
        <v>24</v>
      </c>
      <c r="B14">
        <v>3</v>
      </c>
      <c r="C14">
        <v>4</v>
      </c>
      <c r="D14">
        <v>15.625</v>
      </c>
      <c r="E14">
        <v>22.5</v>
      </c>
      <c r="F14" s="4"/>
      <c r="G14" s="4"/>
      <c r="H14" s="3">
        <f>F14-D14</f>
        <v>-15.625</v>
      </c>
      <c r="I14" s="3">
        <f>G14-E14</f>
        <v>-22.5</v>
      </c>
      <c r="J14">
        <f>H14/2</f>
        <v>-7.8125</v>
      </c>
      <c r="K14">
        <f>I14/2</f>
        <v>-11.25</v>
      </c>
    </row>
    <row r="15" spans="1:11" x14ac:dyDescent="0.2">
      <c r="A15" t="s">
        <v>25</v>
      </c>
      <c r="B15">
        <v>2</v>
      </c>
      <c r="C15">
        <v>3</v>
      </c>
      <c r="D15">
        <v>11.25</v>
      </c>
      <c r="E15" s="5">
        <v>15.625</v>
      </c>
      <c r="F15" s="4"/>
      <c r="G15" s="4"/>
      <c r="H15" s="3">
        <f>F15-D15</f>
        <v>-11.25</v>
      </c>
      <c r="I15" s="3">
        <f>G15-E15</f>
        <v>-15.625</v>
      </c>
      <c r="J15">
        <f>H15/2</f>
        <v>-5.625</v>
      </c>
      <c r="K15">
        <f>I15/2</f>
        <v>-7.8125</v>
      </c>
    </row>
  </sheetData>
  <pageMargins left="0.75" right="0.75" top="1" bottom="1" header="0.5" footer="0.5"/>
  <pageSetup paperSize="9"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8314E5DA542D4DA56756A759A4EE01" ma:contentTypeVersion="18" ma:contentTypeDescription="Create a new document." ma:contentTypeScope="" ma:versionID="1e89887c514b199ed1949f959c3d8c84">
  <xsd:schema xmlns:xsd="http://www.w3.org/2001/XMLSchema" xmlns:xs="http://www.w3.org/2001/XMLSchema" xmlns:p="http://schemas.microsoft.com/office/2006/metadata/properties" xmlns:ns2="e2bac457-0f5b-492b-85af-7aca61835a1d" xmlns:ns3="22245635-2cef-4f1f-9fc1-b98dec5a3c3d" targetNamespace="http://schemas.microsoft.com/office/2006/metadata/properties" ma:root="true" ma:fieldsID="8715ef6fb3d4ad2a05f37d500efdb8e0" ns2:_="" ns3:_="">
    <xsd:import namespace="e2bac457-0f5b-492b-85af-7aca61835a1d"/>
    <xsd:import namespace="22245635-2cef-4f1f-9fc1-b98dec5a3c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bac457-0f5b-492b-85af-7aca61835a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2d65480-f5ce-4fa1-8f59-38e5211deb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245635-2cef-4f1f-9fc1-b98dec5a3c3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ae6ad92-20d8-4d6d-8761-3ffc9172ed5d}" ma:internalName="TaxCatchAll" ma:showField="CatchAllData" ma:web="22245635-2cef-4f1f-9fc1-b98dec5a3c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2245635-2cef-4f1f-9fc1-b98dec5a3c3d" xsi:nil="true"/>
    <lcf76f155ced4ddcb4097134ff3c332f xmlns="e2bac457-0f5b-492b-85af-7aca61835a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416ED0-A201-4AEF-9BAC-7D7587DCB4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3ABE56-B6B7-43AA-AD85-FBB017EFA5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bac457-0f5b-492b-85af-7aca61835a1d"/>
    <ds:schemaRef ds:uri="22245635-2cef-4f1f-9fc1-b98dec5a3c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CB4BCC-B003-4317-939A-DF5D83E5A15D}">
  <ds:schemaRefs>
    <ds:schemaRef ds:uri="http://schemas.microsoft.com/office/2006/metadata/properties"/>
    <ds:schemaRef ds:uri="http://purl.org/dc/dcmitype/"/>
    <ds:schemaRef ds:uri="e2bac457-0f5b-492b-85af-7aca61835a1d"/>
    <ds:schemaRef ds:uri="http://purl.org/dc/terms/"/>
    <ds:schemaRef ds:uri="http://schemas.microsoft.com/office/2006/documentManagement/types"/>
    <ds:schemaRef ds:uri="22245635-2cef-4f1f-9fc1-b98dec5a3c3d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</dc:creator>
  <cp:lastModifiedBy>Lars van Vianen</cp:lastModifiedBy>
  <dcterms:created xsi:type="dcterms:W3CDTF">2012-03-02T18:47:02Z</dcterms:created>
  <dcterms:modified xsi:type="dcterms:W3CDTF">2026-02-04T15:04:32Z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0x010100448314E5DA542D4DA56756A759A4EE01</vt:lpwstr>
  </property>
  <property fmtid="{D5CDD505-2E9C-101B-9397-08002B2CF9AE}" pid="3" name="MediaServiceImageTags">
    <vt:lpwstr/>
  </property>
</Properties>
</file>